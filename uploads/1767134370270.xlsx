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8195" windowHeight="7995"/>
  </bookViews>
  <sheets>
    <sheet name="Sheet2" sheetId="2" r:id="rId1"/>
  </sheets>
  <calcPr calcId="144525"/>
</workbook>
</file>

<file path=xl/calcChain.xml><?xml version="1.0" encoding="utf-8"?>
<calcChain xmlns="http://schemas.openxmlformats.org/spreadsheetml/2006/main">
  <c r="I6" i="2" l="1"/>
  <c r="A6" i="2"/>
  <c r="I5" i="2" l="1"/>
  <c r="A5" i="2"/>
  <c r="I4" i="2" l="1"/>
  <c r="A4" i="2"/>
  <c r="I3" i="2"/>
  <c r="A3" i="2"/>
  <c r="I2" i="2" l="1"/>
  <c r="A2" i="2"/>
</calcChain>
</file>

<file path=xl/sharedStrings.xml><?xml version="1.0" encoding="utf-8"?>
<sst xmlns="http://schemas.openxmlformats.org/spreadsheetml/2006/main" count="45" uniqueCount="32">
  <si>
    <t>GRN No</t>
  </si>
  <si>
    <t>Order Dealer</t>
  </si>
  <si>
    <t>Stock Age</t>
  </si>
  <si>
    <t>Model</t>
  </si>
  <si>
    <t>Variant</t>
  </si>
  <si>
    <t>Color Type</t>
  </si>
  <si>
    <t>Vin Number</t>
  </si>
  <si>
    <t>Cust Name</t>
  </si>
  <si>
    <t>Stock Status</t>
  </si>
  <si>
    <t>Invoice Date</t>
  </si>
  <si>
    <t>UP521</t>
  </si>
  <si>
    <t>AURORA BLACK PEARL</t>
  </si>
  <si>
    <t>SELTOS</t>
  </si>
  <si>
    <t>Seltos HTK (O) 1.5 Diesel</t>
  </si>
  <si>
    <t>MZBEP813LSN748599</t>
  </si>
  <si>
    <t xml:space="preserve">SANJAY PRATAP SINGH </t>
  </si>
  <si>
    <t>Allocated</t>
  </si>
  <si>
    <t>SONET</t>
  </si>
  <si>
    <t>Sonet D1.5 6MT HTK Plus</t>
  </si>
  <si>
    <t>GLACIER WHITE PEARL</t>
  </si>
  <si>
    <t>MZBFB813LSN599919</t>
  </si>
  <si>
    <t>DIVYANSHU PURWAR</t>
  </si>
  <si>
    <t>Sonet D1.5 6MT HTK (O)</t>
  </si>
  <si>
    <t>CLEAR WHITE</t>
  </si>
  <si>
    <t>MZBFB813LSN594466</t>
  </si>
  <si>
    <t>UMAKANT</t>
  </si>
  <si>
    <t>CARENS</t>
  </si>
  <si>
    <t>Carens Clavis D1.5 6MT HTE(O)7</t>
  </si>
  <si>
    <t>MZBGB813LSN294776</t>
  </si>
  <si>
    <t>ASHIF HUSAIN</t>
  </si>
  <si>
    <t>MZBFB813LSN599599</t>
  </si>
  <si>
    <t>ANIL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</si>
</sst>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vertical="center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85" zoomScaleNormal="85" workbookViewId="0">
      <selection activeCell="D12" sqref="D12"/>
    </sheetView>
  </sheetViews>
  <sheetFormatPr defaultColWidth="6.7109375" defaultRowHeight="15" x14ac:dyDescent="0.25"/>
  <cols>
    <col min="1" max="1" width="8" style="1" bestFit="1" customWidth="1"/>
    <col min="2" max="2" width="12.85546875" style="1" bestFit="1" customWidth="1"/>
    <col min="3" max="3" width="12.5703125" style="1" bestFit="1" customWidth="1"/>
    <col min="4" max="4" width="29.85546875" style="1" bestFit="1" customWidth="1"/>
    <col min="5" max="5" width="20.85546875" style="1" bestFit="1" customWidth="1"/>
    <col min="6" max="6" width="21.85546875" style="1" bestFit="1" customWidth="1"/>
    <col min="7" max="7" width="31" style="1" bestFit="1" customWidth="1"/>
    <col min="8" max="8" width="11.85546875" style="1" bestFit="1" customWidth="1"/>
    <col min="9" max="9" width="10.85546875" style="1" bestFit="1" customWidth="1"/>
    <col min="10" max="10" width="12.140625" style="1" bestFit="1" customWidth="1"/>
    <col min="11" max="16384" width="6.7109375" style="1"/>
  </cols>
  <sheetData>
    <row r="1" spans="1:10" s="5" customFormat="1" ht="30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2</v>
      </c>
      <c r="J1" s="4" t="s">
        <v>8</v>
      </c>
    </row>
    <row r="2" spans="1:10" x14ac:dyDescent="0.25">
      <c r="A2" s="8">
        <f>+SUBTOTAL(103,$B$2:B2)</f>
        <v>1</v>
      </c>
      <c r="B2" s="8" t="s">
        <v>10</v>
      </c>
      <c r="C2" s="8" t="s">
        <v>12</v>
      </c>
      <c r="D2" s="8" t="s">
        <v>13</v>
      </c>
      <c r="E2" s="8" t="s">
        <v>11</v>
      </c>
      <c r="F2" s="8" t="s">
        <v>14</v>
      </c>
      <c r="G2" s="6" t="s">
        <v>15</v>
      </c>
      <c r="H2" s="7">
        <v>45991</v>
      </c>
      <c r="I2" s="2">
        <f t="shared" ref="I2:I6" ca="1" si="0">+TODAY()-H2</f>
        <v>23</v>
      </c>
      <c r="J2" s="3" t="s">
        <v>16</v>
      </c>
    </row>
    <row r="3" spans="1:10" x14ac:dyDescent="0.25">
      <c r="A3" s="8">
        <f>+SUBTOTAL(103,$B$2:B3)</f>
        <v>2</v>
      </c>
      <c r="B3" s="8" t="s">
        <v>10</v>
      </c>
      <c r="C3" s="8" t="s">
        <v>17</v>
      </c>
      <c r="D3" s="8" t="s">
        <v>18</v>
      </c>
      <c r="E3" s="8" t="s">
        <v>19</v>
      </c>
      <c r="F3" s="8" t="s">
        <v>20</v>
      </c>
      <c r="G3" s="6" t="s">
        <v>21</v>
      </c>
      <c r="H3" s="7">
        <v>46010</v>
      </c>
      <c r="I3" s="2">
        <f t="shared" ca="1" si="0"/>
        <v>4</v>
      </c>
      <c r="J3" s="3" t="s">
        <v>16</v>
      </c>
    </row>
    <row r="4" spans="1:10" x14ac:dyDescent="0.25">
      <c r="A4" s="8">
        <f>+SUBTOTAL(103,$B$2:B4)</f>
        <v>3</v>
      </c>
      <c r="B4" s="8" t="s">
        <v>10</v>
      </c>
      <c r="C4" s="8" t="s">
        <v>17</v>
      </c>
      <c r="D4" s="8" t="s">
        <v>22</v>
      </c>
      <c r="E4" s="8" t="s">
        <v>23</v>
      </c>
      <c r="F4" s="8" t="s">
        <v>24</v>
      </c>
      <c r="G4" s="6" t="s">
        <v>25</v>
      </c>
      <c r="H4" s="7">
        <v>46010</v>
      </c>
      <c r="I4" s="2">
        <f t="shared" ca="1" si="0"/>
        <v>4</v>
      </c>
      <c r="J4" s="3" t="s">
        <v>16</v>
      </c>
    </row>
    <row r="5" spans="1:10" x14ac:dyDescent="0.25">
      <c r="A5" s="8">
        <f>+SUBTOTAL(103,$B$2:B5)</f>
        <v>4</v>
      </c>
      <c r="B5" s="8" t="s">
        <v>10</v>
      </c>
      <c r="C5" s="8" t="s">
        <v>26</v>
      </c>
      <c r="D5" s="8" t="s">
        <v>27</v>
      </c>
      <c r="E5" s="8" t="s">
        <v>23</v>
      </c>
      <c r="F5" s="8" t="s">
        <v>28</v>
      </c>
      <c r="G5" s="6" t="s">
        <v>29</v>
      </c>
      <c r="H5" s="7">
        <v>46011</v>
      </c>
      <c r="I5" s="2">
        <f t="shared" ca="1" si="0"/>
        <v>3</v>
      </c>
      <c r="J5" s="3" t="s">
        <v>16</v>
      </c>
    </row>
    <row r="6" spans="1:10" x14ac:dyDescent="0.25">
      <c r="A6" s="8">
        <f>+SUBTOTAL(103,$B$2:B6)</f>
        <v>5</v>
      </c>
      <c r="B6" s="8" t="s">
        <v>10</v>
      </c>
      <c r="C6" s="8" t="s">
        <v>17</v>
      </c>
      <c r="D6" s="8" t="s">
        <v>22</v>
      </c>
      <c r="E6" s="8" t="s">
        <v>23</v>
      </c>
      <c r="F6" s="8" t="s">
        <v>30</v>
      </c>
      <c r="G6" s="6" t="s">
        <v>31</v>
      </c>
      <c r="H6" s="7">
        <v>46013</v>
      </c>
      <c r="I6" s="2">
        <f t="shared" ca="1" si="0"/>
        <v>1</v>
      </c>
      <c r="J6" s="3" t="s">
        <v>16</v>
      </c>
    </row>
  </sheetData>
  <conditionalFormatting sqref="F2">
    <cfRule type="duplicateValues" dxfId="7" priority="14"/>
  </conditionalFormatting>
  <conditionalFormatting sqref="F3:F4">
    <cfRule type="duplicateValues" dxfId="6" priority="12"/>
  </conditionalFormatting>
  <conditionalFormatting sqref="F5">
    <cfRule type="duplicateValues" dxfId="5" priority="5"/>
  </conditionalFormatting>
  <conditionalFormatting sqref="F6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KIA SALES EDP</cp:lastModifiedBy>
  <dcterms:created xsi:type="dcterms:W3CDTF">2025-08-25T10:15:28Z</dcterms:created>
  <dcterms:modified xsi:type="dcterms:W3CDTF">2025-12-23T06:40:28Z</dcterms:modified>
</cp:coreProperties>
</file>