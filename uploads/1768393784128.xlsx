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4" r:id="rId2"/>
    <sheet name="Sheet3" sheetId="5" r:id="rId3"/>
  </sheets>
  <definedNames>
    <definedName name="_xlnm._FilterDatabase" localSheetId="0" hidden="1">Sheet1!$A$1:$J$10</definedName>
  </definedNames>
  <calcPr calcId="144525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I3" i="1"/>
  <c r="I4" i="1"/>
  <c r="I5" i="1"/>
  <c r="I6" i="1"/>
  <c r="I7" i="1"/>
  <c r="I8" i="1"/>
  <c r="I9" i="1"/>
  <c r="I10" i="1"/>
  <c r="A2" i="1" l="1"/>
  <c r="I2" i="1"/>
</calcChain>
</file>

<file path=xl/sharedStrings.xml><?xml version="1.0" encoding="utf-8"?>
<sst xmlns="http://schemas.openxmlformats.org/spreadsheetml/2006/main" count="73" uniqueCount="44">
  <si>
    <t>GRN No</t>
  </si>
  <si>
    <t>Order Dealer</t>
  </si>
  <si>
    <t>Stock Age</t>
  </si>
  <si>
    <t>Model</t>
  </si>
  <si>
    <t>Variant</t>
  </si>
  <si>
    <t>Color Type</t>
  </si>
  <si>
    <t>Vin Number</t>
  </si>
  <si>
    <t>Stock Status</t>
  </si>
  <si>
    <t>Cust Name</t>
  </si>
  <si>
    <t>Invoice Date</t>
  </si>
  <si>
    <t>SONET</t>
  </si>
  <si>
    <t>UP521</t>
  </si>
  <si>
    <t>AURORA BLACK PEARL</t>
  </si>
  <si>
    <t>SELTOS</t>
  </si>
  <si>
    <t>Seltos HTK (O) 1.5 Diesel</t>
  </si>
  <si>
    <t>MZBEP813LSN748599</t>
  </si>
  <si>
    <t>Allocated</t>
  </si>
  <si>
    <t>UP310</t>
  </si>
  <si>
    <t>Free Stock</t>
  </si>
  <si>
    <t>Sonet D1.5 6MT HTK Plus</t>
  </si>
  <si>
    <t>CLEAR WHITE</t>
  </si>
  <si>
    <t>Sonet G1.2 5MT HTK (O)</t>
  </si>
  <si>
    <t>MZBFB812LSN580411</t>
  </si>
  <si>
    <t>BRIJ KUMAR</t>
  </si>
  <si>
    <t>CARENS</t>
  </si>
  <si>
    <t>Carens Clavis G1.5 6MT HTE(O)7</t>
  </si>
  <si>
    <t>Sonet G1.2 5MT HTK Plus</t>
  </si>
  <si>
    <t>MZBGB814LSN288143</t>
  </si>
  <si>
    <t>ARIF KHAN</t>
  </si>
  <si>
    <t>MZBFB812LSN590363</t>
  </si>
  <si>
    <t>NIKHIL SAHU</t>
  </si>
  <si>
    <t>Carens G1.5 6MT Premium (O) 7</t>
  </si>
  <si>
    <t>MZBGB814LSN298889</t>
  </si>
  <si>
    <t>MEENA VERMA</t>
  </si>
  <si>
    <t>PEWTER OLIVE</t>
  </si>
  <si>
    <t>MZBFB812LSN596417</t>
  </si>
  <si>
    <t>SHIVAM AGARWAL</t>
  </si>
  <si>
    <t>MZBGB814LSN295689</t>
  </si>
  <si>
    <t>MUKUL RAIKWAR</t>
  </si>
  <si>
    <t>MZBFB812LSN601082</t>
  </si>
  <si>
    <t>BHARAT SINGH</t>
  </si>
  <si>
    <t>MZBFB813LSN601379</t>
  </si>
  <si>
    <t>PRASHANT GUPTA</t>
  </si>
  <si>
    <t>FREE BND/ SANJAY PRATAP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</si>
</sst>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sz val="11"/>
      <color rgb="FFFFFFFF"/>
      <name val="Calibri"/>
      <family val="2"/>
      <scheme val="minor"/>
    </font>
    <font>
      <b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Fill="1" applyBorder="1"/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14" fontId="3" fillId="0" borderId="1" xfId="0" applyNumberFormat="1" applyFont="1" applyFill="1" applyBorder="1" applyAlignment="1" applyProtection="1">
      <alignment horizontal="left"/>
    </xf>
    <xf numFmtId="0" fontId="3" fillId="0" borderId="1" xfId="0" applyFont="1" applyFill="1" applyBorder="1" applyAlignment="1" applyProtection="1">
      <alignment vertical="center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zoomScale="80" zoomScaleNormal="80" workbookViewId="0">
      <selection activeCell="F26" sqref="F20:G26"/>
    </sheetView>
  </sheetViews>
  <sheetFormatPr defaultRowHeight="15" x14ac:dyDescent="0.25"/>
  <cols>
    <col min="1" max="1" width="8.5703125" bestFit="1" customWidth="1"/>
    <col min="2" max="2" width="7.85546875" bestFit="1" customWidth="1"/>
    <col min="3" max="3" width="13.140625" bestFit="1" customWidth="1"/>
    <col min="4" max="4" width="31.28515625" bestFit="1" customWidth="1"/>
    <col min="5" max="5" width="21.7109375" bestFit="1" customWidth="1"/>
    <col min="6" max="6" width="23.140625" bestFit="1" customWidth="1"/>
    <col min="7" max="7" width="32.28515625" style="3" bestFit="1" customWidth="1"/>
    <col min="8" max="8" width="13.42578125" bestFit="1" customWidth="1"/>
    <col min="9" max="9" width="11.28515625" bestFit="1" customWidth="1"/>
    <col min="10" max="10" width="12.85546875" bestFit="1" customWidth="1"/>
    <col min="11" max="16384" width="9.140625" style="3"/>
  </cols>
  <sheetData>
    <row r="1" spans="1:10" s="2" customFormat="1" ht="3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2</v>
      </c>
      <c r="J1" s="1" t="s">
        <v>7</v>
      </c>
    </row>
    <row r="2" spans="1:10" s="4" customFormat="1" ht="14.25" customHeight="1" x14ac:dyDescent="0.2">
      <c r="A2" s="9">
        <f>+SUBTOTAL(103,$B$2:B2)</f>
        <v>1</v>
      </c>
      <c r="B2" s="9" t="s">
        <v>11</v>
      </c>
      <c r="C2" s="9" t="s">
        <v>13</v>
      </c>
      <c r="D2" s="9" t="s">
        <v>14</v>
      </c>
      <c r="E2" s="9" t="s">
        <v>12</v>
      </c>
      <c r="F2" s="9" t="s">
        <v>15</v>
      </c>
      <c r="G2" s="7" t="s">
        <v>43</v>
      </c>
      <c r="H2" s="8">
        <v>45991</v>
      </c>
      <c r="I2" s="5">
        <f t="shared" ref="I2:I10" ca="1" si="0">+TODAY()-H2</f>
        <v>39</v>
      </c>
      <c r="J2" s="6" t="s">
        <v>18</v>
      </c>
    </row>
    <row r="3" spans="1:10" s="4" customFormat="1" ht="14.25" customHeight="1" x14ac:dyDescent="0.2">
      <c r="A3" s="9">
        <f>+SUBTOTAL(103,$B$2:B3)</f>
        <v>2</v>
      </c>
      <c r="B3" s="9" t="s">
        <v>17</v>
      </c>
      <c r="C3" s="9" t="s">
        <v>10</v>
      </c>
      <c r="D3" s="9" t="s">
        <v>21</v>
      </c>
      <c r="E3" s="9" t="s">
        <v>20</v>
      </c>
      <c r="F3" s="9" t="s">
        <v>22</v>
      </c>
      <c r="G3" s="7" t="s">
        <v>23</v>
      </c>
      <c r="H3" s="8">
        <v>46015</v>
      </c>
      <c r="I3" s="5">
        <f t="shared" ca="1" si="0"/>
        <v>15</v>
      </c>
      <c r="J3" s="6" t="s">
        <v>16</v>
      </c>
    </row>
    <row r="4" spans="1:10" s="4" customFormat="1" ht="14.25" customHeight="1" x14ac:dyDescent="0.2">
      <c r="A4" s="9">
        <f>+SUBTOTAL(103,$B$2:B4)</f>
        <v>3</v>
      </c>
      <c r="B4" s="9" t="s">
        <v>17</v>
      </c>
      <c r="C4" s="9" t="s">
        <v>24</v>
      </c>
      <c r="D4" s="9" t="s">
        <v>25</v>
      </c>
      <c r="E4" s="9" t="s">
        <v>20</v>
      </c>
      <c r="F4" s="9" t="s">
        <v>27</v>
      </c>
      <c r="G4" s="7" t="s">
        <v>28</v>
      </c>
      <c r="H4" s="8">
        <v>46018</v>
      </c>
      <c r="I4" s="5">
        <f t="shared" ca="1" si="0"/>
        <v>12</v>
      </c>
      <c r="J4" s="6" t="s">
        <v>16</v>
      </c>
    </row>
    <row r="5" spans="1:10" s="4" customFormat="1" ht="14.25" customHeight="1" x14ac:dyDescent="0.2">
      <c r="A5" s="9">
        <f>+SUBTOTAL(103,$B$2:B5)</f>
        <v>4</v>
      </c>
      <c r="B5" s="9" t="s">
        <v>17</v>
      </c>
      <c r="C5" s="9" t="s">
        <v>10</v>
      </c>
      <c r="D5" s="9" t="s">
        <v>21</v>
      </c>
      <c r="E5" s="9" t="s">
        <v>12</v>
      </c>
      <c r="F5" s="9" t="s">
        <v>29</v>
      </c>
      <c r="G5" s="7" t="s">
        <v>30</v>
      </c>
      <c r="H5" s="8">
        <v>46021</v>
      </c>
      <c r="I5" s="5">
        <f t="shared" ca="1" si="0"/>
        <v>9</v>
      </c>
      <c r="J5" s="6" t="s">
        <v>16</v>
      </c>
    </row>
    <row r="6" spans="1:10" s="4" customFormat="1" ht="14.25" customHeight="1" x14ac:dyDescent="0.2">
      <c r="A6" s="9">
        <f>+SUBTOTAL(103,$B$2:B6)</f>
        <v>5</v>
      </c>
      <c r="B6" s="9" t="s">
        <v>17</v>
      </c>
      <c r="C6" s="9" t="s">
        <v>24</v>
      </c>
      <c r="D6" s="9" t="s">
        <v>31</v>
      </c>
      <c r="E6" s="9" t="s">
        <v>20</v>
      </c>
      <c r="F6" s="9" t="s">
        <v>32</v>
      </c>
      <c r="G6" s="7" t="s">
        <v>33</v>
      </c>
      <c r="H6" s="8">
        <v>46021</v>
      </c>
      <c r="I6" s="5">
        <f t="shared" ca="1" si="0"/>
        <v>9</v>
      </c>
      <c r="J6" s="6" t="s">
        <v>16</v>
      </c>
    </row>
    <row r="7" spans="1:10" s="4" customFormat="1" ht="14.25" customHeight="1" x14ac:dyDescent="0.2">
      <c r="A7" s="9">
        <f>+SUBTOTAL(103,$B$2:B7)</f>
        <v>6</v>
      </c>
      <c r="B7" s="9" t="s">
        <v>17</v>
      </c>
      <c r="C7" s="9" t="s">
        <v>10</v>
      </c>
      <c r="D7" s="9" t="s">
        <v>21</v>
      </c>
      <c r="E7" s="9" t="s">
        <v>34</v>
      </c>
      <c r="F7" s="9" t="s">
        <v>35</v>
      </c>
      <c r="G7" s="7" t="s">
        <v>36</v>
      </c>
      <c r="H7" s="8">
        <v>46021</v>
      </c>
      <c r="I7" s="5">
        <f t="shared" ca="1" si="0"/>
        <v>9</v>
      </c>
      <c r="J7" s="6" t="s">
        <v>16</v>
      </c>
    </row>
    <row r="8" spans="1:10" s="4" customFormat="1" ht="14.25" customHeight="1" x14ac:dyDescent="0.2">
      <c r="A8" s="9">
        <f>+SUBTOTAL(103,$B$2:B8)</f>
        <v>7</v>
      </c>
      <c r="B8" s="9" t="s">
        <v>17</v>
      </c>
      <c r="C8" s="9" t="s">
        <v>24</v>
      </c>
      <c r="D8" s="9" t="s">
        <v>25</v>
      </c>
      <c r="E8" s="9" t="s">
        <v>20</v>
      </c>
      <c r="F8" s="9" t="s">
        <v>37</v>
      </c>
      <c r="G8" s="7" t="s">
        <v>38</v>
      </c>
      <c r="H8" s="8">
        <v>46021</v>
      </c>
      <c r="I8" s="5">
        <f t="shared" ca="1" si="0"/>
        <v>9</v>
      </c>
      <c r="J8" s="6" t="s">
        <v>16</v>
      </c>
    </row>
    <row r="9" spans="1:10" s="4" customFormat="1" ht="14.25" customHeight="1" x14ac:dyDescent="0.2">
      <c r="A9" s="9">
        <f>+SUBTOTAL(103,$B$2:B9)</f>
        <v>8</v>
      </c>
      <c r="B9" s="9" t="s">
        <v>17</v>
      </c>
      <c r="C9" s="9" t="s">
        <v>10</v>
      </c>
      <c r="D9" s="9" t="s">
        <v>26</v>
      </c>
      <c r="E9" s="9" t="s">
        <v>12</v>
      </c>
      <c r="F9" s="9" t="s">
        <v>39</v>
      </c>
      <c r="G9" s="7" t="s">
        <v>40</v>
      </c>
      <c r="H9" s="8">
        <v>46022</v>
      </c>
      <c r="I9" s="5">
        <f t="shared" ca="1" si="0"/>
        <v>8</v>
      </c>
      <c r="J9" s="6" t="s">
        <v>16</v>
      </c>
    </row>
    <row r="10" spans="1:10" s="4" customFormat="1" ht="14.25" customHeight="1" x14ac:dyDescent="0.2">
      <c r="A10" s="9">
        <f>+SUBTOTAL(103,$B$2:B10)</f>
        <v>9</v>
      </c>
      <c r="B10" s="9" t="s">
        <v>11</v>
      </c>
      <c r="C10" s="9" t="s">
        <v>10</v>
      </c>
      <c r="D10" s="9" t="s">
        <v>19</v>
      </c>
      <c r="E10" s="9" t="s">
        <v>12</v>
      </c>
      <c r="F10" s="9" t="s">
        <v>41</v>
      </c>
      <c r="G10" s="7" t="s">
        <v>42</v>
      </c>
      <c r="H10" s="8">
        <v>46022</v>
      </c>
      <c r="I10" s="5">
        <f t="shared" ca="1" si="0"/>
        <v>8</v>
      </c>
      <c r="J10" s="6" t="s">
        <v>16</v>
      </c>
    </row>
  </sheetData>
  <autoFilter ref="A1:J10">
    <sortState ref="A2:J5">
      <sortCondition ref="B1:B5"/>
    </sortState>
  </autoFilter>
  <conditionalFormatting sqref="F6:F1048576 F1">
    <cfRule type="duplicateValues" dxfId="1" priority="135"/>
  </conditionalFormatting>
  <conditionalFormatting sqref="F2:F10">
    <cfRule type="duplicateValues" dxfId="0" priority="13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9" sqref="G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2026-01-08T12:39:33Z</dcterms:modified>
</cp:coreProperties>
</file>